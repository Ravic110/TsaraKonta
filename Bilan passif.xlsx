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nnée 2025\yeiayel consulting\Excel\Le Guide\Le Guide en python\apifactorise_refactored\"/>
    </mc:Choice>
  </mc:AlternateContent>
  <xr:revisionPtr revIDLastSave="0" documentId="13_ncr:1_{58622596-F6CA-49F2-BFFB-0213871BBA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2" i="1" l="1"/>
  <c r="B22" i="1"/>
  <c r="C21" i="1"/>
  <c r="B21" i="1"/>
  <c r="C20" i="1"/>
  <c r="B20" i="1"/>
  <c r="C19" i="1"/>
  <c r="B19" i="1"/>
  <c r="B23" i="1" s="1"/>
  <c r="C18" i="1"/>
  <c r="C23" i="1" s="1"/>
  <c r="C3" i="1" s="1"/>
  <c r="C11" i="1" s="1"/>
  <c r="C24" i="1" s="1"/>
  <c r="B18" i="1"/>
  <c r="C16" i="1"/>
  <c r="B16" i="1"/>
  <c r="C15" i="1"/>
  <c r="B15" i="1"/>
  <c r="C14" i="1"/>
  <c r="B14" i="1"/>
  <c r="C13" i="1"/>
  <c r="B13" i="1"/>
  <c r="B17" i="1" s="1"/>
  <c r="C8" i="1"/>
  <c r="B8" i="1"/>
  <c r="C7" i="1"/>
  <c r="B7" i="1" s="1"/>
  <c r="C6" i="1"/>
  <c r="B6" i="1"/>
  <c r="C5" i="1"/>
  <c r="B5" i="1"/>
  <c r="C4" i="1"/>
  <c r="B4" i="1"/>
  <c r="B3" i="1" l="1"/>
  <c r="B11" i="1" s="1"/>
  <c r="B24" i="1" s="1"/>
</calcChain>
</file>

<file path=xl/sharedStrings.xml><?xml version="1.0" encoding="utf-8"?>
<sst xmlns="http://schemas.openxmlformats.org/spreadsheetml/2006/main" count="24" uniqueCount="24">
  <si>
    <t>Période</t>
  </si>
  <si>
    <t>CAPITAUX PROPRES</t>
  </si>
  <si>
    <t>Fond propre</t>
  </si>
  <si>
    <t>Primes et réserves</t>
  </si>
  <si>
    <t>Ecart d'évaluation</t>
  </si>
  <si>
    <t>Ecart d'équivalence</t>
  </si>
  <si>
    <t>Report à nouveau</t>
  </si>
  <si>
    <t>Résultat net</t>
  </si>
  <si>
    <t>Part de la société consolidant</t>
  </si>
  <si>
    <t>Part des minoritaires</t>
  </si>
  <si>
    <t>TOTAL CAPITAUX PROPORES</t>
  </si>
  <si>
    <t>PASSIFS NON COURANTS</t>
  </si>
  <si>
    <t>Produits différé - Subventions d'investissement</t>
  </si>
  <si>
    <t>Impôt différés</t>
  </si>
  <si>
    <t>Emprunts et dettes financières +1ans</t>
  </si>
  <si>
    <t>Provision et produits constatés d'avance</t>
  </si>
  <si>
    <t>TOTAL PASSIFS NON COURANTS</t>
  </si>
  <si>
    <t>Dettes court terme -1ans</t>
  </si>
  <si>
    <t>Fournisseurs et comptes rattachés</t>
  </si>
  <si>
    <t>Provision et produits constatés d'avance (passifs courants)</t>
  </si>
  <si>
    <t>Autres dettes</t>
  </si>
  <si>
    <t>Compte de trésorerie passifs (Découvert)</t>
  </si>
  <si>
    <t>TOTAL PASSIFS COURANTS</t>
  </si>
  <si>
    <t>TOTAL DES PASSIFS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</si>
</sst>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164" fontId="3" fillId="0" borderId="1" xfId="1" applyNumberFormat="1" applyFont="1" applyBorder="1"/>
    <xf numFmtId="4" fontId="2" fillId="2" borderId="1" xfId="0" applyNumberFormat="1" applyFont="1" applyFill="1" applyBorder="1"/>
    <xf numFmtId="164" fontId="2" fillId="0" borderId="1" xfId="1" applyNumberFormat="1" applyFont="1" applyBorder="1"/>
    <xf numFmtId="41" fontId="3" fillId="0" borderId="1" xfId="1" applyFont="1" applyBorder="1"/>
    <xf numFmtId="164" fontId="2" fillId="2" borderId="1" xfId="1" applyNumberFormat="1" applyFont="1" applyFill="1" applyBorder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nn&#233;e%202025\yeiayel%20consulting\Excel\Le%20Guide\ExcelGuide%20-BasicSaisieComptable.xlsm" TargetMode="External"/><Relationship Id="rId1" Type="http://schemas.openxmlformats.org/officeDocument/2006/relationships/externalLinkPath" Target="/Donn&#233;e%202025/yeiayel%20consulting/Excel/Le%20Guide/ExcelGuide%20-BasicSaisieComptab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isieComptable"/>
      <sheetName val="TableauBord"/>
      <sheetName val="Matériel de travail"/>
      <sheetName val="TA immo"/>
      <sheetName val="Stock"/>
      <sheetName val="journal"/>
      <sheetName val="GrandLivre"/>
      <sheetName val="CR par Nature"/>
      <sheetName val="CR par Fonction"/>
      <sheetName val="Bilan Actif"/>
      <sheetName val="Bilan Passif"/>
      <sheetName val="Analyse ratios"/>
      <sheetName val="sources liste"/>
      <sheetName val="MotsCles"/>
      <sheetName val="Interprétation"/>
      <sheetName val="Parametres"/>
      <sheetName val="PCG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E2" t="str">
            <v>Solde du compte</v>
          </cell>
          <cell r="H2" t="str">
            <v>Solde du compte</v>
          </cell>
        </row>
        <row r="5">
          <cell r="E5">
            <v>50000000</v>
          </cell>
          <cell r="H5">
            <v>0</v>
          </cell>
        </row>
        <row r="9">
          <cell r="H9">
            <v>0</v>
          </cell>
        </row>
        <row r="10">
          <cell r="H10">
            <v>0</v>
          </cell>
        </row>
        <row r="15">
          <cell r="E15">
            <v>0</v>
          </cell>
          <cell r="H15">
            <v>0</v>
          </cell>
        </row>
        <row r="16">
          <cell r="E16">
            <v>0</v>
          </cell>
          <cell r="H16">
            <v>0</v>
          </cell>
        </row>
        <row r="18">
          <cell r="E18">
            <v>0</v>
          </cell>
          <cell r="H18">
            <v>0</v>
          </cell>
        </row>
        <row r="22">
          <cell r="E22">
            <v>0</v>
          </cell>
          <cell r="H22">
            <v>0</v>
          </cell>
        </row>
        <row r="23">
          <cell r="E23">
            <v>0</v>
          </cell>
          <cell r="H23">
            <v>0</v>
          </cell>
        </row>
        <row r="24">
          <cell r="E24">
            <v>0</v>
          </cell>
          <cell r="H24">
            <v>0</v>
          </cell>
        </row>
        <row r="25">
          <cell r="E25">
            <v>0</v>
          </cell>
          <cell r="H25">
            <v>0</v>
          </cell>
        </row>
        <row r="27">
          <cell r="E27">
            <v>0</v>
          </cell>
          <cell r="H27">
            <v>0</v>
          </cell>
        </row>
        <row r="28">
          <cell r="E28">
            <v>0</v>
          </cell>
          <cell r="H28">
            <v>0</v>
          </cell>
        </row>
        <row r="29">
          <cell r="E29">
            <v>0</v>
          </cell>
          <cell r="H29">
            <v>0</v>
          </cell>
        </row>
        <row r="156">
          <cell r="E156">
            <v>0</v>
          </cell>
          <cell r="H156">
            <v>0</v>
          </cell>
        </row>
        <row r="157">
          <cell r="E157">
            <v>0</v>
          </cell>
          <cell r="H157">
            <v>0</v>
          </cell>
        </row>
        <row r="158">
          <cell r="E158">
            <v>0</v>
          </cell>
          <cell r="H158">
            <v>0</v>
          </cell>
        </row>
        <row r="159">
          <cell r="E159">
            <v>0</v>
          </cell>
          <cell r="H159">
            <v>0</v>
          </cell>
        </row>
        <row r="160">
          <cell r="E160">
            <v>-350000000</v>
          </cell>
          <cell r="H160">
            <v>0</v>
          </cell>
        </row>
        <row r="206">
          <cell r="E206">
            <v>0</v>
          </cell>
          <cell r="H206">
            <v>0</v>
          </cell>
        </row>
        <row r="207">
          <cell r="E207">
            <v>0</v>
          </cell>
          <cell r="H207">
            <v>0</v>
          </cell>
        </row>
        <row r="208">
          <cell r="E208">
            <v>0</v>
          </cell>
          <cell r="H208">
            <v>0</v>
          </cell>
        </row>
        <row r="209">
          <cell r="E209">
            <v>0</v>
          </cell>
          <cell r="H209">
            <v>0</v>
          </cell>
        </row>
        <row r="214">
          <cell r="E214">
            <v>0</v>
          </cell>
          <cell r="H214">
            <v>0</v>
          </cell>
        </row>
        <row r="218">
          <cell r="E218">
            <v>0</v>
          </cell>
          <cell r="H218">
            <v>0</v>
          </cell>
        </row>
        <row r="220">
          <cell r="E220">
            <v>0</v>
          </cell>
          <cell r="H220">
            <v>0</v>
          </cell>
        </row>
        <row r="240">
          <cell r="E240">
            <v>0</v>
          </cell>
          <cell r="H240">
            <v>0</v>
          </cell>
        </row>
        <row r="245">
          <cell r="E245">
            <v>0</v>
          </cell>
          <cell r="H245">
            <v>0</v>
          </cell>
        </row>
        <row r="247">
          <cell r="E247">
            <v>0</v>
          </cell>
          <cell r="H247">
            <v>0</v>
          </cell>
        </row>
        <row r="344">
          <cell r="E344">
            <v>0</v>
          </cell>
          <cell r="H34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H12" sqref="H12"/>
    </sheetView>
  </sheetViews>
  <sheetFormatPr baseColWidth="10" defaultColWidth="9.140625" defaultRowHeight="15" x14ac:dyDescent="0.25"/>
  <cols>
    <col min="1" max="1" width="34.28515625" customWidth="1"/>
    <col min="2" max="2" width="25.140625" customWidth="1"/>
    <col min="3" max="3" width="22.28515625" customWidth="1"/>
  </cols>
  <sheetData>
    <row r="1" spans="1:3" x14ac:dyDescent="0.25">
      <c r="A1" s="1" t="s">
        <v>0</v>
      </c>
      <c r="B1" s="1">
        <v>2025</v>
      </c>
      <c r="C1" s="1">
        <v>2024</v>
      </c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4" t="e">
        <f>'[1]Bilan Actif'!D24-B4-B5-B6-B7-B8-B9-B10-B17-B23</f>
        <v>#VALUE!</v>
      </c>
      <c r="C3" s="4" t="e">
        <f>'[1]Bilan Actif'!E24-C4-C5-C6-C7-C8-C9-C10-C17-C23</f>
        <v>#VALUE!</v>
      </c>
    </row>
    <row r="4" spans="1:3" x14ac:dyDescent="0.25">
      <c r="A4" s="3" t="s">
        <v>3</v>
      </c>
      <c r="B4" s="4" t="str">
        <f>[1]GrandLivre!E2</f>
        <v>Solde du compte</v>
      </c>
      <c r="C4" s="4" t="str">
        <f>[1]GrandLivre!H2</f>
        <v>Solde du compte</v>
      </c>
    </row>
    <row r="5" spans="1:3" x14ac:dyDescent="0.25">
      <c r="A5" s="3" t="s">
        <v>4</v>
      </c>
      <c r="B5" s="4">
        <f>[1]GrandLivre!E3</f>
        <v>0</v>
      </c>
      <c r="C5" s="4">
        <f>[1]GrandLivre!H3</f>
        <v>0</v>
      </c>
    </row>
    <row r="6" spans="1:3" x14ac:dyDescent="0.25">
      <c r="A6" s="3" t="s">
        <v>5</v>
      </c>
      <c r="B6" s="4">
        <f>[1]GrandLivre!E5</f>
        <v>50000000</v>
      </c>
      <c r="C6" s="4">
        <f>[1]GrandLivre!H5</f>
        <v>0</v>
      </c>
    </row>
    <row r="7" spans="1:3" x14ac:dyDescent="0.25">
      <c r="A7" s="3" t="s">
        <v>6</v>
      </c>
      <c r="B7" s="4">
        <f>C8+C7</f>
        <v>0</v>
      </c>
      <c r="C7" s="4">
        <f>[1]GrandLivre!H9-[1]GrandLivre!H10</f>
        <v>0</v>
      </c>
    </row>
    <row r="8" spans="1:3" x14ac:dyDescent="0.25">
      <c r="A8" s="3" t="s">
        <v>7</v>
      </c>
      <c r="B8" s="4">
        <f>'[1]CR par Fonction'!B57</f>
        <v>0</v>
      </c>
      <c r="C8" s="4">
        <f>'[1]CR par Fonction'!C57</f>
        <v>0</v>
      </c>
    </row>
    <row r="9" spans="1:3" x14ac:dyDescent="0.25">
      <c r="A9" s="3" t="s">
        <v>8</v>
      </c>
      <c r="B9" s="4"/>
      <c r="C9" s="4"/>
    </row>
    <row r="10" spans="1:3" x14ac:dyDescent="0.25">
      <c r="A10" s="3" t="s">
        <v>9</v>
      </c>
      <c r="B10" s="4"/>
      <c r="C10" s="4"/>
    </row>
    <row r="11" spans="1:3" x14ac:dyDescent="0.25">
      <c r="A11" s="1" t="s">
        <v>10</v>
      </c>
      <c r="B11" s="5" t="e">
        <f t="shared" ref="B11:C11" si="0">SUM(B3:B10)</f>
        <v>#VALUE!</v>
      </c>
      <c r="C11" s="5" t="e">
        <f t="shared" si="0"/>
        <v>#VALUE!</v>
      </c>
    </row>
    <row r="12" spans="1:3" x14ac:dyDescent="0.25">
      <c r="A12" s="2" t="s">
        <v>11</v>
      </c>
      <c r="B12" s="6"/>
      <c r="C12" s="2"/>
    </row>
    <row r="13" spans="1:3" x14ac:dyDescent="0.25">
      <c r="A13" s="3" t="s">
        <v>12</v>
      </c>
      <c r="B13" s="4">
        <f>[1]GrandLivre!E15+[1]GrandLivre!E16</f>
        <v>0</v>
      </c>
      <c r="C13" s="4">
        <f>[1]GrandLivre!H15+[1]GrandLivre!H16</f>
        <v>0</v>
      </c>
    </row>
    <row r="14" spans="1:3" x14ac:dyDescent="0.25">
      <c r="A14" s="3" t="s">
        <v>13</v>
      </c>
      <c r="B14" s="4">
        <f>[1]GrandLivre!E18+[1]GrandLivre!E344</f>
        <v>0</v>
      </c>
      <c r="C14" s="4">
        <f>[1]GrandLivre!H18+[1]GrandLivre!H344</f>
        <v>0</v>
      </c>
    </row>
    <row r="15" spans="1:3" x14ac:dyDescent="0.25">
      <c r="A15" s="3" t="s">
        <v>14</v>
      </c>
      <c r="B15" s="4">
        <f>[1]GrandLivre!E27+[1]GrandLivre!E28+[1]GrandLivre!E29</f>
        <v>0</v>
      </c>
      <c r="C15" s="4">
        <f>[1]GrandLivre!H27+[1]GrandLivre!H28+[1]GrandLivre!H29</f>
        <v>0</v>
      </c>
    </row>
    <row r="16" spans="1:3" x14ac:dyDescent="0.25">
      <c r="A16" s="3" t="s">
        <v>15</v>
      </c>
      <c r="B16" s="4">
        <f>[1]GrandLivre!E22+[1]GrandLivre!E23+[1]GrandLivre!E24+[1]GrandLivre!E25</f>
        <v>0</v>
      </c>
      <c r="C16" s="4">
        <f>[1]GrandLivre!H22+[1]GrandLivre!H23+[1]GrandLivre!H24+[1]GrandLivre!H25</f>
        <v>0</v>
      </c>
    </row>
    <row r="17" spans="1:3" x14ac:dyDescent="0.25">
      <c r="A17" s="1" t="s">
        <v>16</v>
      </c>
      <c r="B17" s="1">
        <f>SUM(B13:B16)</f>
        <v>0</v>
      </c>
      <c r="C17" s="1"/>
    </row>
    <row r="18" spans="1:3" x14ac:dyDescent="0.25">
      <c r="A18" s="3" t="s">
        <v>17</v>
      </c>
      <c r="B18" s="4">
        <f>[1]GrandLivre!E240+[1]GrandLivre!E245</f>
        <v>0</v>
      </c>
      <c r="C18" s="7">
        <f>[1]GrandLivre!H240+[1]GrandLivre!H245</f>
        <v>0</v>
      </c>
    </row>
    <row r="19" spans="1:3" x14ac:dyDescent="0.25">
      <c r="A19" s="3" t="s">
        <v>18</v>
      </c>
      <c r="B19" s="4">
        <f>-([1]GrandLivre!E156+[1]GrandLivre!E157+[1]GrandLivre!E158+[1]GrandLivre!E159+[1]GrandLivre!E160)</f>
        <v>350000000</v>
      </c>
      <c r="C19" s="7">
        <f>[1]GrandLivre!H156+[1]GrandLivre!H157+[1]GrandLivre!H158+[1]GrandLivre!H159+[1]GrandLivre!H160</f>
        <v>0</v>
      </c>
    </row>
    <row r="20" spans="1:3" x14ac:dyDescent="0.25">
      <c r="A20" s="3" t="s">
        <v>19</v>
      </c>
      <c r="B20" s="4">
        <f>[1]GrandLivre!E218+[1]GrandLivre!E220</f>
        <v>0</v>
      </c>
      <c r="C20" s="7">
        <f>[1]GrandLivre!H218+[1]GrandLivre!H220</f>
        <v>0</v>
      </c>
    </row>
    <row r="21" spans="1:3" x14ac:dyDescent="0.25">
      <c r="A21" s="3" t="s">
        <v>20</v>
      </c>
      <c r="B21" s="4">
        <f>[1]GrandLivre!E206+[1]GrandLivre!E208+[1]GrandLivre!E209+[1]GrandLivre!E207+[1]GrandLivre!E214</f>
        <v>0</v>
      </c>
      <c r="C21" s="7">
        <f>[1]GrandLivre!H206+[1]GrandLivre!H208+[1]GrandLivre!H209+[1]GrandLivre!H207+[1]GrandLivre!H214</f>
        <v>0</v>
      </c>
    </row>
    <row r="22" spans="1:3" x14ac:dyDescent="0.25">
      <c r="A22" s="3" t="s">
        <v>21</v>
      </c>
      <c r="B22" s="4">
        <f>IF([1]GrandLivre!E247&gt;0,[1]GrandLivre!E247,0)</f>
        <v>0</v>
      </c>
      <c r="C22" s="7">
        <f>IF([1]GrandLivre!H247&gt;0,[1]GrandLivre!H247,0)</f>
        <v>0</v>
      </c>
    </row>
    <row r="23" spans="1:3" x14ac:dyDescent="0.25">
      <c r="A23" s="1" t="s">
        <v>22</v>
      </c>
      <c r="B23" s="5">
        <f t="shared" ref="B23:C23" si="1">SUM(B18:B22)</f>
        <v>350000000</v>
      </c>
      <c r="C23" s="5">
        <f t="shared" si="1"/>
        <v>0</v>
      </c>
    </row>
    <row r="24" spans="1:3" x14ac:dyDescent="0.25">
      <c r="A24" s="1" t="s">
        <v>23</v>
      </c>
      <c r="B24" s="8" t="e">
        <f t="shared" ref="B24:C24" si="2">B11+B17+B23</f>
        <v>#VALUE!</v>
      </c>
      <c r="C24" s="5" t="e">
        <f t="shared" si="2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2026-02-21T20:48:08Z</dcterms:modified>
</cp:coreProperties>
</file>