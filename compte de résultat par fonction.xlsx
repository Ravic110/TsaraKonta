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onnée 2025\yeiayel consulting\Excel\Le Guide\Le Guide en python\apifactorise_refactored\"/>
    </mc:Choice>
  </mc:AlternateContent>
  <xr:revisionPtr revIDLastSave="0" documentId="13_ncr:1_{516BFD9B-674C-466A-955C-FC91B8754DE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Feuil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25" i="1" l="1"/>
  <c r="A24" i="1"/>
  <c r="C23" i="1"/>
  <c r="B23" i="1"/>
  <c r="A23" i="1"/>
  <c r="A22" i="1"/>
  <c r="C20" i="1"/>
  <c r="B20" i="1"/>
  <c r="A20" i="1"/>
  <c r="C19" i="1"/>
  <c r="A19" i="1"/>
  <c r="A17" i="1"/>
  <c r="C15" i="1"/>
  <c r="B15" i="1"/>
  <c r="A15" i="1"/>
  <c r="C14" i="1"/>
  <c r="B14" i="1"/>
  <c r="A14" i="1"/>
  <c r="A12" i="1"/>
  <c r="C10" i="1"/>
  <c r="B10" i="1"/>
  <c r="A10" i="1"/>
  <c r="C9" i="1"/>
  <c r="B9" i="1"/>
  <c r="A9" i="1"/>
  <c r="C8" i="1"/>
  <c r="B8" i="1"/>
  <c r="A8" i="1"/>
  <c r="C7" i="1"/>
  <c r="C12" i="1" s="1"/>
  <c r="C17" i="1" s="1"/>
  <c r="C22" i="1" s="1"/>
  <c r="B7" i="1"/>
  <c r="A7" i="1"/>
  <c r="C5" i="1"/>
  <c r="B5" i="1"/>
  <c r="B12" i="1" s="1"/>
  <c r="B17" i="1" s="1"/>
  <c r="A5" i="1"/>
  <c r="C3" i="1"/>
  <c r="B3" i="1"/>
  <c r="A3" i="1"/>
  <c r="C2" i="1"/>
  <c r="B2" i="1"/>
  <c r="A2" i="1"/>
  <c r="C1" i="1"/>
  <c r="B1" i="1"/>
  <c r="A1" i="1"/>
  <c r="B19" i="1" l="1"/>
  <c r="B22" i="1" s="1"/>
  <c r="C24" i="1" l="1"/>
  <c r="C25" i="1" s="1"/>
  <c r="B24" i="1" l="1"/>
  <c r="B25" i="1" s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64" formatCode="_-* #,##0.00_-;\-* #,##0.00_-;_-* &quot;-&quot;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4A86E8"/>
        <bgColor rgb="FF4A86E8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16">
    <xf numFmtId="0" fontId="0" fillId="0" borderId="0" xfId="0"/>
    <xf numFmtId="0" fontId="2" fillId="2" borderId="1" xfId="0" applyFont="1" applyFill="1" applyBorder="1" applyAlignment="1">
      <alignment wrapText="1"/>
    </xf>
    <xf numFmtId="0" fontId="3" fillId="2" borderId="1" xfId="0" applyFont="1" applyFill="1" applyBorder="1" applyAlignment="1">
      <alignment wrapText="1"/>
    </xf>
    <xf numFmtId="0" fontId="3" fillId="2" borderId="1" xfId="0" applyFont="1" applyFill="1" applyBorder="1"/>
    <xf numFmtId="0" fontId="4" fillId="0" borderId="1" xfId="0" applyFont="1" applyBorder="1" applyAlignment="1">
      <alignment wrapText="1"/>
    </xf>
    <xf numFmtId="164" fontId="4" fillId="0" borderId="1" xfId="1" applyNumberFormat="1" applyFont="1" applyBorder="1" applyAlignment="1">
      <alignment horizontal="right"/>
    </xf>
    <xf numFmtId="0" fontId="4" fillId="0" borderId="2" xfId="0" applyFont="1" applyBorder="1"/>
    <xf numFmtId="164" fontId="4" fillId="0" borderId="2" xfId="1" applyNumberFormat="1" applyFont="1" applyBorder="1" applyAlignment="1"/>
    <xf numFmtId="0" fontId="3" fillId="0" borderId="3" xfId="0" applyFont="1" applyBorder="1" applyAlignment="1">
      <alignment wrapText="1"/>
    </xf>
    <xf numFmtId="164" fontId="3" fillId="0" borderId="4" xfId="1" applyNumberFormat="1" applyFont="1" applyBorder="1" applyAlignment="1">
      <alignment horizontal="right"/>
    </xf>
    <xf numFmtId="0" fontId="4" fillId="0" borderId="5" xfId="0" applyFont="1" applyBorder="1"/>
    <xf numFmtId="164" fontId="4" fillId="0" borderId="5" xfId="1" applyNumberFormat="1" applyFont="1" applyBorder="1" applyAlignment="1"/>
    <xf numFmtId="0" fontId="4" fillId="0" borderId="5" xfId="0" applyFont="1" applyBorder="1" applyAlignment="1">
      <alignment wrapText="1"/>
    </xf>
    <xf numFmtId="164" fontId="4" fillId="0" borderId="5" xfId="1" applyNumberFormat="1" applyFont="1" applyBorder="1" applyAlignment="1">
      <alignment horizontal="right"/>
    </xf>
    <xf numFmtId="0" fontId="4" fillId="0" borderId="2" xfId="0" applyFont="1" applyBorder="1" applyAlignment="1">
      <alignment wrapText="1"/>
    </xf>
    <xf numFmtId="164" fontId="4" fillId="0" borderId="2" xfId="1" applyNumberFormat="1" applyFont="1" applyBorder="1" applyAlignment="1">
      <alignment horizontal="right"/>
    </xf>
  </cellXfs>
  <cellStyles count="2">
    <cellStyle name="Milliers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onn&#233;e%202025\yeiayel%20consulting\Excel\Le%20Guide\ExcelGuide%20-BasicSaisieComptable.xlsm" TargetMode="External"/><Relationship Id="rId1" Type="http://schemas.openxmlformats.org/officeDocument/2006/relationships/externalLinkPath" Target="/Donn&#233;e%202025/yeiayel%20consulting/Excel/Le%20Guide/ExcelGuide%20-BasicSaisieComptable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aisieComptable"/>
      <sheetName val="TableauBord"/>
      <sheetName val="Matériel de travail"/>
      <sheetName val="TA immo"/>
      <sheetName val="Stock"/>
      <sheetName val="journal"/>
      <sheetName val="GrandLivre"/>
      <sheetName val="CR par Nature"/>
      <sheetName val="CR par Fonction"/>
      <sheetName val="Bilan Actif"/>
      <sheetName val="Bilan Passif"/>
      <sheetName val="Analyse ratios"/>
      <sheetName val="sources liste"/>
      <sheetName val="MotsCles"/>
      <sheetName val="Interprétation"/>
      <sheetName val="Parametres"/>
      <sheetName val="PC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7">
          <cell r="B7">
            <v>2025</v>
          </cell>
          <cell r="C7">
            <v>2024</v>
          </cell>
        </row>
        <row r="8">
          <cell r="B8">
            <v>100000000</v>
          </cell>
          <cell r="C8">
            <v>0</v>
          </cell>
        </row>
        <row r="11">
          <cell r="B11">
            <v>100000000</v>
          </cell>
          <cell r="C11">
            <v>0</v>
          </cell>
        </row>
        <row r="12">
          <cell r="B12">
            <v>50000000</v>
          </cell>
          <cell r="C12">
            <v>0</v>
          </cell>
        </row>
        <row r="14">
          <cell r="B14">
            <v>50000000</v>
          </cell>
          <cell r="C14">
            <v>0</v>
          </cell>
        </row>
        <row r="15">
          <cell r="B15">
            <v>50000000</v>
          </cell>
          <cell r="C15">
            <v>0</v>
          </cell>
        </row>
        <row r="16">
          <cell r="B16">
            <v>25000000</v>
          </cell>
          <cell r="C16">
            <v>0</v>
          </cell>
        </row>
        <row r="18">
          <cell r="B18">
            <v>25000000</v>
          </cell>
          <cell r="C18">
            <v>0</v>
          </cell>
        </row>
        <row r="20">
          <cell r="B20">
            <v>0</v>
          </cell>
          <cell r="C20">
            <v>0</v>
          </cell>
        </row>
        <row r="21">
          <cell r="B21">
            <v>0</v>
          </cell>
          <cell r="C21">
            <v>0</v>
          </cell>
        </row>
        <row r="24">
          <cell r="B24">
            <v>25000000</v>
          </cell>
          <cell r="C24">
            <v>0</v>
          </cell>
        </row>
        <row r="25">
          <cell r="B25">
            <v>0</v>
          </cell>
          <cell r="C25">
            <v>0</v>
          </cell>
        </row>
        <row r="28">
          <cell r="B28">
            <v>25000000</v>
          </cell>
          <cell r="C28">
            <v>0</v>
          </cell>
        </row>
        <row r="29">
          <cell r="B29">
            <v>0</v>
          </cell>
          <cell r="C29">
            <v>0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"/>
  <sheetViews>
    <sheetView tabSelected="1" workbookViewId="0">
      <selection activeCell="C2" sqref="C2"/>
    </sheetView>
  </sheetViews>
  <sheetFormatPr baseColWidth="10" defaultColWidth="9.140625" defaultRowHeight="15" x14ac:dyDescent="0.25"/>
  <cols>
    <col min="1" max="3" width="31" customWidth="1"/>
  </cols>
  <sheetData>
    <row r="1" spans="1:3" ht="39" x14ac:dyDescent="0.25">
      <c r="A1" s="1" t="str">
        <f ca="1">IFERROR(__xludf.DUMMYFUNCTION("""COMPUTED_VALUE"""),"Période d'exercice")</f>
        <v>Période d'exercice</v>
      </c>
      <c r="B1" s="2">
        <f ca="1">IFERROR(__xludf.DUMMYFUNCTION("""COMPUTED_VALUE"""),2025)</f>
        <v>2025</v>
      </c>
      <c r="C1" s="3">
        <f ca="1">IFERROR(__xludf.DUMMYFUNCTION("""COMPUTED_VALUE"""),2024)</f>
        <v>2024</v>
      </c>
    </row>
    <row r="2" spans="1:3" ht="51.75" x14ac:dyDescent="0.25">
      <c r="A2" s="4" t="str">
        <f ca="1">IFERROR(__xludf.DUMMYFUNCTION("""COMPUTED_VALUE"""),"Produits des activités ordinaires")</f>
        <v>Produits des activités ordinaires</v>
      </c>
      <c r="B2" s="5">
        <f>'[1]CR par Nature'!B3</f>
        <v>0</v>
      </c>
      <c r="C2" s="5">
        <f>'[1]CR par Nature'!C3</f>
        <v>0</v>
      </c>
    </row>
    <row r="3" spans="1:3" ht="26.25" x14ac:dyDescent="0.25">
      <c r="A3" s="4" t="str">
        <f ca="1">IFERROR(__xludf.DUMMYFUNCTION("""COMPUTED_VALUE"""),"Coût des ventes")</f>
        <v>Coût des ventes</v>
      </c>
      <c r="B3" s="5">
        <f>'[1]CR par Nature'!B8</f>
        <v>100000000</v>
      </c>
      <c r="C3" s="5">
        <f>'[1]CR par Nature'!C8</f>
        <v>0</v>
      </c>
    </row>
    <row r="4" spans="1:3" ht="15.75" thickBot="1" x14ac:dyDescent="0.3">
      <c r="A4" s="6"/>
      <c r="B4" s="7"/>
      <c r="C4" s="7"/>
    </row>
    <row r="5" spans="1:3" ht="27" thickBot="1" x14ac:dyDescent="0.3">
      <c r="A5" s="8" t="str">
        <f ca="1">IFERROR(__xludf.DUMMYFUNCTION("""COMPUTED_VALUE"""),"MARGE BRUTE")</f>
        <v>MARGE BRUTE</v>
      </c>
      <c r="B5" s="9">
        <f>B2-B3</f>
        <v>-100000000</v>
      </c>
      <c r="C5" s="9">
        <f>C2-C3</f>
        <v>0</v>
      </c>
    </row>
    <row r="6" spans="1:3" x14ac:dyDescent="0.25">
      <c r="A6" s="10"/>
      <c r="B6" s="11"/>
      <c r="C6" s="11"/>
    </row>
    <row r="7" spans="1:3" ht="51.75" x14ac:dyDescent="0.25">
      <c r="A7" s="4" t="str">
        <f ca="1">IFERROR(__xludf.DUMMYFUNCTION("""COMPUTED_VALUE"""),"Autres produits opérationnels")</f>
        <v>Autres produits opérationnels</v>
      </c>
      <c r="B7" s="5">
        <f>'[1]CR par Nature'!B14</f>
        <v>50000000</v>
      </c>
      <c r="C7" s="5">
        <f>'[1]CR par Nature'!C14</f>
        <v>0</v>
      </c>
    </row>
    <row r="8" spans="1:3" ht="39" x14ac:dyDescent="0.25">
      <c r="A8" s="4" t="str">
        <f ca="1">IFERROR(__xludf.DUMMYFUNCTION("""COMPUTED_VALUE"""),"Coût commerciaux")</f>
        <v>Coût commerciaux</v>
      </c>
      <c r="B8" s="5">
        <f>'[1]CR par Nature'!B7</f>
        <v>2025</v>
      </c>
      <c r="C8" s="5">
        <f>'[1]CR par Nature'!C7</f>
        <v>2024</v>
      </c>
    </row>
    <row r="9" spans="1:3" ht="39" x14ac:dyDescent="0.25">
      <c r="A9" s="4" t="str">
        <f ca="1">IFERROR(__xludf.DUMMYFUNCTION("""COMPUTED_VALUE"""),"Charges administratives")</f>
        <v>Charges administratives</v>
      </c>
      <c r="B9" s="5">
        <f>'[1]CR par Nature'!B11+'[1]CR par Nature'!B12+'[1]CR par Nature'!B16+'[1]CR par Nature'!B18</f>
        <v>200000000</v>
      </c>
      <c r="C9" s="5">
        <f>'[1]CR par Nature'!C11+'[1]CR par Nature'!C12+'[1]CR par Nature'!C16+'[1]CR par Nature'!C18</f>
        <v>0</v>
      </c>
    </row>
    <row r="10" spans="1:3" ht="51.75" x14ac:dyDescent="0.25">
      <c r="A10" s="4" t="str">
        <f ca="1">IFERROR(__xludf.DUMMYFUNCTION("""COMPUTED_VALUE"""),"Autres charges opérationnelles")</f>
        <v>Autres charges opérationnelles</v>
      </c>
      <c r="B10" s="5">
        <f>'[1]CR par Nature'!B15</f>
        <v>50000000</v>
      </c>
      <c r="C10" s="5">
        <f>'[1]CR par Nature'!C15</f>
        <v>0</v>
      </c>
    </row>
    <row r="11" spans="1:3" ht="15.75" thickBot="1" x14ac:dyDescent="0.3">
      <c r="A11" s="6"/>
      <c r="B11" s="7"/>
      <c r="C11" s="7"/>
    </row>
    <row r="12" spans="1:3" ht="52.5" thickBot="1" x14ac:dyDescent="0.3">
      <c r="A12" s="8" t="str">
        <f ca="1">IFERROR(__xludf.DUMMYFUNCTION("""COMPUTED_VALUE"""),"RESULTAT OPERATIONNEL")</f>
        <v>RESULTAT OPERATIONNEL</v>
      </c>
      <c r="B12" s="9">
        <f>B5+B7-B8-B9-B10</f>
        <v>-300002025</v>
      </c>
      <c r="C12" s="9">
        <f>C5+C7-C8-C9-C10</f>
        <v>-2024</v>
      </c>
    </row>
    <row r="13" spans="1:3" x14ac:dyDescent="0.25">
      <c r="A13" s="10"/>
      <c r="B13" s="11"/>
      <c r="C13" s="11"/>
    </row>
    <row r="14" spans="1:3" ht="26.25" x14ac:dyDescent="0.25">
      <c r="A14" s="4" t="str">
        <f ca="1">IFERROR(__xludf.DUMMYFUNCTION("""COMPUTED_VALUE"""),"Produit financiers")</f>
        <v>Produit financiers</v>
      </c>
      <c r="B14" s="5">
        <f>'[1]CR par Nature'!B20</f>
        <v>0</v>
      </c>
      <c r="C14" s="5">
        <f>'[1]CR par Nature'!C20</f>
        <v>0</v>
      </c>
    </row>
    <row r="15" spans="1:3" ht="26.25" x14ac:dyDescent="0.25">
      <c r="A15" s="4" t="str">
        <f ca="1">IFERROR(__xludf.DUMMYFUNCTION("""COMPUTED_VALUE"""),"Charges financiers")</f>
        <v>Charges financiers</v>
      </c>
      <c r="B15" s="5">
        <f>'[1]CR par Nature'!B21</f>
        <v>0</v>
      </c>
      <c r="C15" s="5">
        <f>'[1]CR par Nature'!C21</f>
        <v>0</v>
      </c>
    </row>
    <row r="16" spans="1:3" ht="15.75" thickBot="1" x14ac:dyDescent="0.3">
      <c r="A16" s="6"/>
      <c r="B16" s="7"/>
      <c r="C16" s="7"/>
    </row>
    <row r="17" spans="1:3" ht="52.5" thickBot="1" x14ac:dyDescent="0.3">
      <c r="A17" s="8" t="str">
        <f ca="1">IFERROR(__xludf.DUMMYFUNCTION("""COMPUTED_VALUE"""),"RESULTAT AVANT IMPOT")</f>
        <v>RESULTAT AVANT IMPOT</v>
      </c>
      <c r="B17" s="9">
        <f>B12+B14-B15</f>
        <v>-300002025</v>
      </c>
      <c r="C17" s="9">
        <f>C12+C14-C15</f>
        <v>-2024</v>
      </c>
    </row>
    <row r="18" spans="1:3" x14ac:dyDescent="0.25">
      <c r="A18" s="10"/>
      <c r="B18" s="11"/>
      <c r="C18" s="11"/>
    </row>
    <row r="19" spans="1:3" ht="26.25" x14ac:dyDescent="0.25">
      <c r="A19" s="4" t="str">
        <f ca="1">IFERROR(__xludf.DUMMYFUNCTION("""COMPUTED_VALUE"""),"Impôt sur le résultat")</f>
        <v>Impôt sur le résultat</v>
      </c>
      <c r="B19" s="5">
        <f ca="1">'[1]CR par Nature'!B24</f>
        <v>25000000</v>
      </c>
      <c r="C19" s="5">
        <f ca="1">'[1]CR par Nature'!C24</f>
        <v>0</v>
      </c>
    </row>
    <row r="20" spans="1:3" ht="26.25" x14ac:dyDescent="0.25">
      <c r="A20" s="4" t="str">
        <f ca="1">IFERROR(__xludf.DUMMYFUNCTION("""COMPUTED_VALUE"""),"Impôt différés")</f>
        <v>Impôt différés</v>
      </c>
      <c r="B20" s="5">
        <f>'[1]CR par Nature'!B25</f>
        <v>0</v>
      </c>
      <c r="C20" s="5">
        <f>'[1]CR par Nature'!C25</f>
        <v>0</v>
      </c>
    </row>
    <row r="21" spans="1:3" ht="15.75" thickBot="1" x14ac:dyDescent="0.3">
      <c r="A21" s="6"/>
      <c r="B21" s="7"/>
      <c r="C21" s="7"/>
    </row>
    <row r="22" spans="1:3" ht="90.75" thickBot="1" x14ac:dyDescent="0.3">
      <c r="A22" s="8" t="str">
        <f ca="1">IFERROR(__xludf.DUMMYFUNCTION("""COMPUTED_VALUE"""),"RESULTAT NET DES ACTIVITES ORDINAIRES")</f>
        <v>RESULTAT NET DES ACTIVITES ORDINAIRES</v>
      </c>
      <c r="B22" s="9">
        <f ca="1">B17-B19+B20</f>
        <v>-325002025</v>
      </c>
      <c r="C22" s="9">
        <f ca="1">C17-C19+C20</f>
        <v>-2024</v>
      </c>
    </row>
    <row r="23" spans="1:3" ht="39" x14ac:dyDescent="0.25">
      <c r="A23" s="12" t="str">
        <f ca="1">IFERROR(__xludf.DUMMYFUNCTION("""COMPUTED_VALUE"""),"Charges extraordinaires")</f>
        <v>Charges extraordinaires</v>
      </c>
      <c r="B23" s="13">
        <f>'[1]CR par Nature'!B29</f>
        <v>0</v>
      </c>
      <c r="C23" s="13">
        <f>'[1]CR par Nature'!C29</f>
        <v>0</v>
      </c>
    </row>
    <row r="24" spans="1:3" ht="39.75" thickBot="1" x14ac:dyDescent="0.3">
      <c r="A24" s="14" t="str">
        <f ca="1">IFERROR(__xludf.DUMMYFUNCTION("""COMPUTED_VALUE"""),"Produits extraordinaires")</f>
        <v>Produits extraordinaires</v>
      </c>
      <c r="B24" s="15">
        <f ca="1">'[1]CR par Nature'!B28</f>
        <v>25000000</v>
      </c>
      <c r="C24" s="15">
        <f ca="1">'[1]CR par Nature'!C28</f>
        <v>0</v>
      </c>
    </row>
    <row r="25" spans="1:3" ht="65.25" thickBot="1" x14ac:dyDescent="0.3">
      <c r="A25" s="8" t="str">
        <f ca="1">IFERROR(__xludf.DUMMYFUNCTION("""COMPUTED_VALUE"""),"RESULTAT NET DE L'EXERCICE")</f>
        <v>RESULTAT NET DE L'EXERCICE</v>
      </c>
      <c r="B25" s="9">
        <f ca="1">B22-B23+B24</f>
        <v>-300002025</v>
      </c>
      <c r="C25" s="9">
        <f ca="1">C22-C23+C24</f>
        <v>-2024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2015-06-05T18:19:34Z</dcterms:created>
  <dcterms:modified xsi:type="dcterms:W3CDTF">2026-02-22T11:28:25Z</dcterms:modified>
</cp:coreProperties>
</file>